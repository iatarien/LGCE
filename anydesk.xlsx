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0" windowWidth="2160" windowHeight="0" activeTab="1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Sheet1!$C$1:$C$36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20" i="5"/>
  <c r="D16" i="5"/>
</calcChain>
</file>

<file path=xl/sharedStrings.xml><?xml version="1.0" encoding="utf-8"?>
<sst xmlns="http://schemas.openxmlformats.org/spreadsheetml/2006/main" count="341" uniqueCount="74">
  <si>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</si>
  <si>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</si>
  <si>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</si>
  <si>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</si>
  <si>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</si>
  <si>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</si>
  <si>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</si>
  <si>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</si>
  <si>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</si>
  <si>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</si>
  <si>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</si>
  <si>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</si>
  <si>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</si>
  <si>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</si>
  <si>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</si>
  <si>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</si>
  <si>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</si>
  <si>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</si>
  <si>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</si>
  <si>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</si>
  <si>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</si>
  <si>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</si>
  <si>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</si>
  <si>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</si>
  <si>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</si>
  <si>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</si>
  <si>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</si>
  <si>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</si>
  <si>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</si>
  <si>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</si>
  <si>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</si>
  <si>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</si>
  <si>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</si>
  <si>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</si>
  <si>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</si>
  <si>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</si>
  <si>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</si>
  <si>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</si>
  <si>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</si>
  <si>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</si>
  <si>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</si>
  <si>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</si>
  <si>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</si>
  <si>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</si>
  <si>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</si>
  <si>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</si>
  <si>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</si>
  <si>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</si>
  <si>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</si>
  <si>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</si>
  <si>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</si>
  <si>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</si>
  <si>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</si>
  <si>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</si>
  <si>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</si>
  <si>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</si>
  <si>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</si>
  <si>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</si>
  <si>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</si>
  <si>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</si>
  <si>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</si>
  <si>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</si>
  <si>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</si>
  <si>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</si>
  <si>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</si>
  <si>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</si>
  <si>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</si>
  <si>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</si>
  <si>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</si>
  <si>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</si>
  <si>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</si>
  <si>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
 (Gestion de Parc)</t>
  </si>
  <si>
    <t>equipementt3</t>
  </si>
  <si>
    <t>Logmatrix99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</si>
</sst>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sz val="14"/>
      <color theme="5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6"/>
  <sheetViews>
    <sheetView topLeftCell="A13" zoomScale="85" zoomScaleNormal="85" workbookViewId="0">
      <selection activeCell="I5" sqref="I5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30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30">
        <v>46326</v>
      </c>
      <c r="J7" s="16">
        <v>45557</v>
      </c>
      <c r="K7" s="17" t="s">
        <v>53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401172574</v>
      </c>
      <c r="E8" s="3" t="s">
        <v>9</v>
      </c>
      <c r="F8" s="3" t="s">
        <v>16</v>
      </c>
      <c r="G8" s="3" t="s">
        <v>19</v>
      </c>
      <c r="H8" s="4"/>
      <c r="I8" s="30">
        <v>46326</v>
      </c>
      <c r="J8" s="9">
        <v>45567</v>
      </c>
      <c r="K8" s="9" t="s">
        <v>54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30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30">
        <v>46326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30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5">
        <v>45961</v>
      </c>
      <c r="K12" s="9"/>
      <c r="L12" s="3" t="s">
        <v>29</v>
      </c>
      <c r="M12" s="1"/>
      <c r="N12" s="1"/>
      <c r="O12" s="20"/>
      <c r="P12" s="3" t="s">
        <v>48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30">
        <v>46326</v>
      </c>
      <c r="J13" s="9">
        <v>45567</v>
      </c>
      <c r="K13" s="9" t="s">
        <v>54</v>
      </c>
      <c r="L13" s="3" t="s">
        <v>29</v>
      </c>
      <c r="O13" s="21"/>
      <c r="P13" s="3" t="s">
        <v>46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5">
        <v>45961</v>
      </c>
      <c r="J14" s="9">
        <v>45567</v>
      </c>
      <c r="K14" s="9" t="s">
        <v>54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1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23">
        <v>45961</v>
      </c>
      <c r="J16" s="3"/>
      <c r="K16" s="24">
        <v>45475</v>
      </c>
      <c r="L16" s="21"/>
    </row>
    <row r="17" spans="1:13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1">
        <v>46326</v>
      </c>
      <c r="J17" s="3"/>
      <c r="K17" s="9">
        <v>45501</v>
      </c>
      <c r="L17" s="3" t="s">
        <v>50</v>
      </c>
    </row>
    <row r="18" spans="1:13" x14ac:dyDescent="0.25">
      <c r="A18" s="3">
        <v>15</v>
      </c>
      <c r="B18" s="3" t="s">
        <v>7</v>
      </c>
      <c r="C18" s="3" t="s">
        <v>47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1">
        <v>46326</v>
      </c>
      <c r="J18" s="3"/>
      <c r="K18" s="9">
        <v>45540</v>
      </c>
      <c r="L18" s="3" t="s">
        <v>49</v>
      </c>
    </row>
    <row r="19" spans="1:13" x14ac:dyDescent="0.25">
      <c r="A19" s="3">
        <v>16</v>
      </c>
      <c r="B19" s="3" t="s">
        <v>33</v>
      </c>
      <c r="C19" s="3" t="s">
        <v>51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3" x14ac:dyDescent="0.25">
      <c r="A20" s="3">
        <v>17</v>
      </c>
      <c r="B20" s="3" t="s">
        <v>52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1">
        <v>46326</v>
      </c>
      <c r="J20" s="9">
        <v>45567</v>
      </c>
      <c r="K20" s="9" t="s">
        <v>54</v>
      </c>
      <c r="L20" s="3"/>
    </row>
    <row r="21" spans="1:13" x14ac:dyDescent="0.25">
      <c r="A21" s="3">
        <v>18</v>
      </c>
      <c r="B21" s="3" t="s">
        <v>20</v>
      </c>
      <c r="C21" s="3" t="s">
        <v>51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1">
        <v>46326</v>
      </c>
      <c r="J21" s="3"/>
      <c r="K21" s="11"/>
      <c r="L21" s="3" t="s">
        <v>29</v>
      </c>
    </row>
    <row r="22" spans="1:13" x14ac:dyDescent="0.25">
      <c r="A22" s="3">
        <v>19</v>
      </c>
      <c r="B22" s="3" t="s">
        <v>33</v>
      </c>
      <c r="C22" s="3" t="s">
        <v>58</v>
      </c>
      <c r="D22" s="3">
        <v>1195041370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3" x14ac:dyDescent="0.25">
      <c r="A23" s="3">
        <v>20</v>
      </c>
      <c r="B23" s="3" t="s">
        <v>59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1">
        <v>46326</v>
      </c>
      <c r="J23" s="3"/>
      <c r="K23" s="11"/>
      <c r="L23" s="3" t="s">
        <v>29</v>
      </c>
    </row>
    <row r="24" spans="1:13" x14ac:dyDescent="0.25">
      <c r="A24" s="3">
        <v>21</v>
      </c>
      <c r="B24" s="3" t="s">
        <v>12</v>
      </c>
      <c r="C24" s="3" t="s">
        <v>60</v>
      </c>
      <c r="D24" s="3">
        <v>1640258972</v>
      </c>
      <c r="E24" s="3" t="s">
        <v>68</v>
      </c>
      <c r="F24" s="3" t="s">
        <v>16</v>
      </c>
      <c r="G24" s="3" t="s">
        <v>19</v>
      </c>
      <c r="H24" s="4"/>
      <c r="I24" s="31">
        <v>46326</v>
      </c>
      <c r="J24" s="3"/>
      <c r="K24" s="11"/>
      <c r="L24" s="3"/>
    </row>
    <row r="25" spans="1:13" x14ac:dyDescent="0.25">
      <c r="A25" s="3">
        <v>22</v>
      </c>
      <c r="B25" s="3" t="s">
        <v>61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1">
        <v>46326</v>
      </c>
      <c r="J25" s="3"/>
      <c r="K25" s="11"/>
      <c r="L25" s="3"/>
    </row>
    <row r="26" spans="1:13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63</v>
      </c>
    </row>
    <row r="27" spans="1:13" x14ac:dyDescent="0.25">
      <c r="A27" s="3">
        <v>24</v>
      </c>
      <c r="B27" s="3" t="s">
        <v>12</v>
      </c>
      <c r="C27" s="3" t="s">
        <v>64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x14ac:dyDescent="0.25">
      <c r="A28" s="3">
        <v>25</v>
      </c>
      <c r="B28" s="3" t="s">
        <v>52</v>
      </c>
      <c r="C28" s="3" t="s">
        <v>51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x14ac:dyDescent="0.25">
      <c r="A29" s="3">
        <v>26</v>
      </c>
      <c r="B29" s="3" t="s">
        <v>65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x14ac:dyDescent="0.25">
      <c r="A30" s="3">
        <v>27</v>
      </c>
      <c r="B30" s="3" t="s">
        <v>66</v>
      </c>
      <c r="C30" s="3" t="s">
        <v>67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68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69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2" x14ac:dyDescent="0.25">
      <c r="A34" s="3">
        <v>31</v>
      </c>
      <c r="B34" s="3" t="s">
        <v>12</v>
      </c>
      <c r="C34" s="3" t="s">
        <v>70</v>
      </c>
      <c r="D34" s="3">
        <v>1544086645</v>
      </c>
      <c r="E34" s="3" t="s">
        <v>9</v>
      </c>
      <c r="F34" s="3" t="s">
        <v>16</v>
      </c>
      <c r="G34" s="3" t="s">
        <v>19</v>
      </c>
      <c r="H34" s="4"/>
      <c r="I34" s="9">
        <v>46326</v>
      </c>
      <c r="J34" s="3"/>
      <c r="K34" s="11"/>
      <c r="L34" s="3"/>
    </row>
    <row r="35" spans="1:12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  <row r="36" spans="1:12" x14ac:dyDescent="0.25">
      <c r="A36" s="3">
        <v>33</v>
      </c>
      <c r="B36" s="3" t="s">
        <v>65</v>
      </c>
      <c r="C36" s="3" t="s">
        <v>40</v>
      </c>
      <c r="D36" s="3">
        <v>1510404232</v>
      </c>
      <c r="E36" s="3" t="s">
        <v>6</v>
      </c>
      <c r="F36" s="3" t="s">
        <v>72</v>
      </c>
      <c r="G36" s="3" t="s">
        <v>19</v>
      </c>
      <c r="H36" s="4"/>
      <c r="I36" s="9">
        <v>46326</v>
      </c>
      <c r="J36" s="3"/>
      <c r="K36" s="11"/>
      <c r="L36" s="3"/>
    </row>
  </sheetData>
  <autoFilter ref="C1:C36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abSelected="1" topLeftCell="C1" zoomScale="70" zoomScaleNormal="70" workbookViewId="0">
      <selection activeCell="L3" sqref="L3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45</v>
      </c>
      <c r="L2" s="3" t="s">
        <v>35</v>
      </c>
      <c r="M2" s="3" t="s">
        <v>36</v>
      </c>
      <c r="N2" s="3" t="s">
        <v>41</v>
      </c>
      <c r="O2" s="11" t="s">
        <v>62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C3" s="3" t="s">
        <v>47</v>
      </c>
      <c r="D3" s="45">
        <v>1605916027</v>
      </c>
      <c r="E3" s="3" t="s">
        <v>6</v>
      </c>
      <c r="F3" s="3" t="s">
        <v>73</v>
      </c>
      <c r="G3" s="3" t="s">
        <v>19</v>
      </c>
      <c r="H3" s="4"/>
      <c r="I3" s="9">
        <v>46464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42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43</v>
      </c>
      <c r="L2" s="3" t="s">
        <v>44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6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6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50000</v>
      </c>
    </row>
    <row r="4" spans="1:4" ht="18.75" x14ac:dyDescent="0.25">
      <c r="A4" s="28">
        <v>4</v>
      </c>
      <c r="B4" s="28" t="s">
        <v>7</v>
      </c>
      <c r="C4" s="28" t="s">
        <v>8</v>
      </c>
      <c r="D4" s="26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6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6">
        <v>50000</v>
      </c>
    </row>
    <row r="14" spans="1:4" ht="18.75" x14ac:dyDescent="0.25">
      <c r="A14" s="3">
        <v>1</v>
      </c>
      <c r="B14" s="3" t="s">
        <v>42</v>
      </c>
      <c r="C14" s="3" t="s">
        <v>10</v>
      </c>
      <c r="D14" s="27">
        <v>50000</v>
      </c>
    </row>
    <row r="16" spans="1:4" ht="18.75" x14ac:dyDescent="0.3">
      <c r="A16" s="44" t="s">
        <v>56</v>
      </c>
      <c r="B16" s="44"/>
      <c r="C16" s="44"/>
      <c r="D16" s="29">
        <f>SUM(D1:D14)</f>
        <v>600000</v>
      </c>
    </row>
    <row r="18" spans="1:4" ht="18.75" x14ac:dyDescent="0.3">
      <c r="A18" s="44" t="s">
        <v>55</v>
      </c>
      <c r="B18" s="44"/>
      <c r="C18" s="44"/>
      <c r="D18" s="27">
        <v>10000</v>
      </c>
    </row>
    <row r="20" spans="1:4" ht="18.75" x14ac:dyDescent="0.3">
      <c r="A20" s="44" t="s">
        <v>57</v>
      </c>
      <c r="B20" s="44"/>
      <c r="C20" s="44"/>
      <c r="D20" s="29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opLeftCell="A10" zoomScale="115" zoomScaleNormal="115" workbookViewId="0">
      <selection activeCell="D3" sqref="D3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9">
        <v>1</v>
      </c>
      <c r="B1" s="39" t="s">
        <v>4</v>
      </c>
      <c r="C1" s="39" t="s">
        <v>5</v>
      </c>
      <c r="D1" s="40">
        <v>0</v>
      </c>
    </row>
    <row r="2" spans="1:4" ht="18.75" x14ac:dyDescent="0.25">
      <c r="A2" s="42">
        <v>2</v>
      </c>
      <c r="B2" s="42" t="s">
        <v>7</v>
      </c>
      <c r="C2" s="42" t="s">
        <v>5</v>
      </c>
      <c r="D2" s="43">
        <v>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6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10000</v>
      </c>
    </row>
    <row r="9" spans="1:4" ht="18.75" x14ac:dyDescent="0.25">
      <c r="A9" s="37">
        <v>9</v>
      </c>
      <c r="B9" s="37" t="s">
        <v>27</v>
      </c>
      <c r="C9" s="37" t="s">
        <v>5</v>
      </c>
      <c r="D9" s="38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10000</v>
      </c>
    </row>
    <row r="11" spans="1:4" ht="18.75" x14ac:dyDescent="0.25">
      <c r="A11" s="37">
        <v>11</v>
      </c>
      <c r="B11" s="37" t="s">
        <v>33</v>
      </c>
      <c r="C11" s="37" t="s">
        <v>8</v>
      </c>
      <c r="D11" s="38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6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4">
        <v>20000</v>
      </c>
    </row>
    <row r="14" spans="1:4" ht="18.75" x14ac:dyDescent="0.25">
      <c r="A14" s="3">
        <v>14</v>
      </c>
      <c r="B14" s="35" t="s">
        <v>12</v>
      </c>
      <c r="C14" s="35" t="s">
        <v>38</v>
      </c>
      <c r="D14" s="36">
        <v>70000</v>
      </c>
    </row>
    <row r="15" spans="1:4" ht="18.75" x14ac:dyDescent="0.25">
      <c r="A15" s="3">
        <v>15</v>
      </c>
      <c r="B15" s="3" t="s">
        <v>7</v>
      </c>
      <c r="C15" s="3" t="s">
        <v>47</v>
      </c>
      <c r="D15" s="26">
        <v>50000</v>
      </c>
    </row>
    <row r="16" spans="1:4" ht="18.75" x14ac:dyDescent="0.25">
      <c r="A16" s="3">
        <v>16</v>
      </c>
      <c r="B16" s="3" t="s">
        <v>33</v>
      </c>
      <c r="C16" s="3" t="s">
        <v>51</v>
      </c>
      <c r="D16" s="26">
        <v>50000</v>
      </c>
    </row>
    <row r="17" spans="1:4" ht="18.75" x14ac:dyDescent="0.25">
      <c r="A17" s="3">
        <v>17</v>
      </c>
      <c r="B17" s="3" t="s">
        <v>52</v>
      </c>
      <c r="C17" s="3" t="s">
        <v>8</v>
      </c>
      <c r="D17" s="26">
        <v>50000</v>
      </c>
    </row>
    <row r="18" spans="1:4" ht="18.75" x14ac:dyDescent="0.25">
      <c r="A18" s="3">
        <v>18</v>
      </c>
      <c r="B18" s="3" t="s">
        <v>20</v>
      </c>
      <c r="C18" s="3" t="s">
        <v>51</v>
      </c>
      <c r="D18" s="26">
        <v>50000</v>
      </c>
    </row>
    <row r="19" spans="1:4" ht="18.75" x14ac:dyDescent="0.25">
      <c r="A19" s="3">
        <v>19</v>
      </c>
      <c r="B19" s="3" t="s">
        <v>33</v>
      </c>
      <c r="C19" s="3" t="s">
        <v>58</v>
      </c>
      <c r="D19" s="26">
        <v>50000</v>
      </c>
    </row>
    <row r="20" spans="1:4" ht="18.75" x14ac:dyDescent="0.25">
      <c r="A20" s="3">
        <v>20</v>
      </c>
      <c r="B20" s="3" t="s">
        <v>59</v>
      </c>
      <c r="C20" s="3" t="s">
        <v>25</v>
      </c>
      <c r="D20" s="26">
        <v>50000</v>
      </c>
    </row>
    <row r="21" spans="1:4" ht="18.75" x14ac:dyDescent="0.25">
      <c r="A21" s="3">
        <v>21</v>
      </c>
      <c r="B21" s="3" t="s">
        <v>12</v>
      </c>
      <c r="C21" s="3" t="s">
        <v>60</v>
      </c>
      <c r="D21" s="26">
        <v>50000</v>
      </c>
    </row>
    <row r="22" spans="1:4" ht="18.75" x14ac:dyDescent="0.25">
      <c r="A22" s="3">
        <v>22</v>
      </c>
      <c r="B22" s="3" t="s">
        <v>61</v>
      </c>
      <c r="C22" s="3" t="s">
        <v>25</v>
      </c>
      <c r="D22" s="26">
        <v>50000</v>
      </c>
    </row>
    <row r="23" spans="1:4" ht="18.75" x14ac:dyDescent="0.25">
      <c r="A23" s="3">
        <v>23</v>
      </c>
      <c r="B23" s="37" t="s">
        <v>12</v>
      </c>
      <c r="C23" s="37" t="s">
        <v>10</v>
      </c>
      <c r="D23" s="38">
        <v>0</v>
      </c>
    </row>
    <row r="24" spans="1:4" ht="18.75" x14ac:dyDescent="0.25">
      <c r="A24" s="32"/>
      <c r="B24" s="32"/>
      <c r="C24" s="32"/>
      <c r="D24" s="33">
        <f>SUM(D1:D23)</f>
        <v>610000</v>
      </c>
    </row>
    <row r="25" spans="1:4" ht="18.75" x14ac:dyDescent="0.25">
      <c r="A25" s="32"/>
      <c r="B25" s="32"/>
      <c r="C25" s="32"/>
      <c r="D25" s="33"/>
    </row>
    <row r="26" spans="1:4" ht="26.25" customHeight="1" x14ac:dyDescent="0.25">
      <c r="A26" s="3">
        <v>1</v>
      </c>
      <c r="B26" s="3" t="s">
        <v>20</v>
      </c>
      <c r="C26" s="41" t="s">
        <v>71</v>
      </c>
      <c r="D26" s="27">
        <v>110000</v>
      </c>
    </row>
    <row r="28" spans="1:4" ht="18.75" x14ac:dyDescent="0.3">
      <c r="A28" s="44" t="s">
        <v>56</v>
      </c>
      <c r="B28" s="44"/>
      <c r="C28" s="44"/>
      <c r="D28" s="29">
        <f>D26+D24</f>
        <v>720000</v>
      </c>
    </row>
    <row r="29" spans="1:4" ht="18.75" x14ac:dyDescent="0.25">
      <c r="A29" s="32"/>
      <c r="B29" s="32"/>
      <c r="C29" s="32"/>
      <c r="D29" s="33"/>
    </row>
    <row r="30" spans="1:4" ht="18.75" x14ac:dyDescent="0.25">
      <c r="A30" s="32"/>
      <c r="B30" s="32"/>
      <c r="C30" s="32"/>
      <c r="D30" s="33"/>
    </row>
    <row r="31" spans="1:4" ht="18.75" x14ac:dyDescent="0.25">
      <c r="A31" s="32"/>
      <c r="B31" s="32"/>
      <c r="C31" s="32"/>
      <c r="D31" s="33"/>
    </row>
    <row r="32" spans="1:4" ht="18.75" x14ac:dyDescent="0.25">
      <c r="A32" s="32"/>
      <c r="B32" s="32"/>
      <c r="C32" s="32"/>
      <c r="D32" s="33"/>
    </row>
    <row r="33" spans="1:4" ht="18.75" x14ac:dyDescent="0.25">
      <c r="A33" s="32"/>
      <c r="B33" s="32"/>
      <c r="C33" s="32"/>
      <c r="D33" s="33"/>
    </row>
    <row r="34" spans="1:4" ht="18.75" x14ac:dyDescent="0.25">
      <c r="A34" s="32"/>
      <c r="B34" s="32"/>
      <c r="C34" s="32"/>
      <c r="D34" s="33"/>
    </row>
    <row r="35" spans="1:4" ht="18.75" x14ac:dyDescent="0.25">
      <c r="A35" s="32"/>
      <c r="B35" s="32"/>
      <c r="C35" s="32"/>
      <c r="D35" s="33"/>
    </row>
    <row r="36" spans="1:4" ht="18.75" x14ac:dyDescent="0.25">
      <c r="A36" s="32"/>
      <c r="B36" s="32"/>
      <c r="C36" s="32"/>
      <c r="D36" s="33"/>
    </row>
    <row r="37" spans="1:4" ht="18.75" x14ac:dyDescent="0.25">
      <c r="A37" s="32"/>
      <c r="B37" s="32"/>
      <c r="C37" s="32"/>
      <c r="D37" s="33"/>
    </row>
    <row r="40" spans="1:4" ht="18.75" x14ac:dyDescent="0.25">
      <c r="A40" s="3">
        <v>1</v>
      </c>
      <c r="B40" s="3" t="s">
        <v>42</v>
      </c>
      <c r="C40" s="3" t="s">
        <v>10</v>
      </c>
      <c r="D40" s="27">
        <v>50000</v>
      </c>
    </row>
    <row r="42" spans="1:4" ht="18.75" x14ac:dyDescent="0.3">
      <c r="A42" s="44" t="s">
        <v>56</v>
      </c>
      <c r="B42" s="44"/>
      <c r="C42" s="44"/>
      <c r="D42" s="29">
        <f>SUM(D3:D40)</f>
        <v>2100000</v>
      </c>
    </row>
    <row r="44" spans="1:4" ht="18.75" x14ac:dyDescent="0.3">
      <c r="A44" s="44" t="s">
        <v>55</v>
      </c>
      <c r="B44" s="44"/>
      <c r="C44" s="44"/>
      <c r="D44" s="27">
        <v>10000</v>
      </c>
    </row>
    <row r="46" spans="1:4" ht="18.75" x14ac:dyDescent="0.3">
      <c r="A46" s="44" t="s">
        <v>57</v>
      </c>
      <c r="B46" s="44"/>
      <c r="C46" s="44"/>
      <c r="D46" s="29">
        <f>D42-D44</f>
        <v>2090000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2026-03-18T11:18:26Z</dcterms:modified>
</cp:coreProperties>
</file>